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01F99BD0644A971A/Documents/"/>
    </mc:Choice>
  </mc:AlternateContent>
  <xr:revisionPtr revIDLastSave="0" documentId="8_{F562880B-8A3C-4097-AB06-85F8D015B615}" xr6:coauthVersionLast="47" xr6:coauthVersionMax="47" xr10:uidLastSave="{00000000-0000-0000-0000-000000000000}"/>
  <bookViews>
    <workbookView xWindow="-108" yWindow="-108" windowWidth="23256" windowHeight="12456" firstSheet="8" activeTab="8" xr2:uid="{676FA04A-5DC4-41E7-828E-93AB60611AC4}"/>
  </bookViews>
  <sheets>
    <sheet name="Electricity Consumption" sheetId="1" r:id="rId1"/>
    <sheet name="LPG Consumption" sheetId="2" r:id="rId2"/>
    <sheet name="Diesel Generator Consumption" sheetId="3" r:id="rId3"/>
    <sheet name="Employee Commute Consumption" sheetId="4" r:id="rId4"/>
    <sheet name="Scope 1 Vehicle Consumption" sheetId="5" r:id="rId5"/>
    <sheet name="Scope 3 Vehicle Consumption" sheetId="6" r:id="rId6"/>
    <sheet name="Business Travel Consumption" sheetId="7" r:id="rId7"/>
    <sheet name="Capital Goods Consumption" sheetId="8" r:id="rId8"/>
    <sheet name="Purchase Goods Consumption" sheetId="9" r:id="rId9"/>
    <sheet name="Waste Generatio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9" l="1"/>
  <c r="O13" i="9"/>
  <c r="O14" i="9"/>
  <c r="N14" i="9"/>
  <c r="N13" i="9" l="1"/>
  <c r="N12" i="9"/>
  <c r="O15" i="9"/>
  <c r="O16" i="9"/>
  <c r="O17" i="9"/>
  <c r="O11" i="9"/>
  <c r="N11" i="9"/>
  <c r="O10" i="9"/>
  <c r="N10" i="9"/>
  <c r="O9" i="9"/>
  <c r="N9" i="9"/>
  <c r="N15" i="9"/>
  <c r="N16" i="9"/>
  <c r="O8" i="9"/>
  <c r="N8" i="9"/>
  <c r="O7" i="9"/>
  <c r="N7" i="9"/>
  <c r="N17" i="9"/>
  <c r="O6" i="9"/>
  <c r="N6" i="9"/>
  <c r="O5" i="9"/>
  <c r="N5" i="9"/>
  <c r="O4" i="9"/>
  <c r="N4" i="9"/>
  <c r="O3" i="9" l="1"/>
  <c r="N3" i="9"/>
  <c r="O2" i="9"/>
  <c r="N2" i="9"/>
  <c r="C3" i="8" l="1"/>
  <c r="C4" i="8"/>
  <c r="C5" i="8"/>
  <c r="C6" i="8"/>
  <c r="C7" i="8"/>
  <c r="C8" i="8"/>
  <c r="C9" i="8"/>
  <c r="C10" i="8"/>
  <c r="C11" i="8"/>
  <c r="C12" i="8"/>
  <c r="C13" i="8"/>
  <c r="C2" i="8"/>
  <c r="D3" i="4"/>
  <c r="D4" i="4"/>
  <c r="D5" i="4"/>
  <c r="D6" i="4"/>
  <c r="D7" i="4"/>
  <c r="D8" i="4"/>
  <c r="D9" i="4"/>
  <c r="D2" i="4"/>
  <c r="C6" i="4"/>
  <c r="C7" i="4"/>
  <c r="C8" i="4"/>
  <c r="C9" i="4"/>
  <c r="C5" i="4"/>
  <c r="C4" i="4"/>
  <c r="C3" i="4"/>
  <c r="C2" i="4"/>
  <c r="D3" i="3"/>
  <c r="D4" i="3"/>
  <c r="D5" i="3"/>
  <c r="D2" i="3"/>
  <c r="C5" i="3"/>
  <c r="C3" i="3"/>
  <c r="C4" i="3"/>
  <c r="C2" i="3"/>
  <c r="Q3" i="2"/>
  <c r="Q4" i="2"/>
  <c r="Q5" i="2"/>
  <c r="Q6" i="2"/>
  <c r="Q7" i="2"/>
  <c r="Q8" i="2"/>
  <c r="Q9" i="2"/>
  <c r="Q10" i="2"/>
  <c r="Q2" i="2"/>
  <c r="P3" i="2"/>
  <c r="P4" i="2"/>
  <c r="P5" i="2"/>
  <c r="P6" i="2"/>
  <c r="P7" i="2"/>
  <c r="P8" i="2"/>
  <c r="P9" i="2"/>
  <c r="P2" i="2"/>
  <c r="O3" i="2"/>
  <c r="O4" i="2"/>
  <c r="O5" i="2"/>
  <c r="O6" i="2"/>
  <c r="O7" i="2"/>
  <c r="O8" i="2"/>
  <c r="O9" i="2"/>
  <c r="O10" i="2"/>
  <c r="P10" i="2" s="1"/>
  <c r="O2" i="2"/>
  <c r="P3" i="1"/>
  <c r="P4" i="1"/>
  <c r="P5" i="1"/>
  <c r="P6" i="1"/>
  <c r="P7" i="1"/>
  <c r="P8" i="1"/>
  <c r="P9" i="1"/>
  <c r="P11" i="1"/>
  <c r="P13" i="1"/>
  <c r="P14" i="1"/>
  <c r="P15" i="1"/>
  <c r="P16" i="1"/>
  <c r="P17" i="1"/>
  <c r="P18" i="1"/>
  <c r="P19" i="1"/>
  <c r="P20" i="1"/>
  <c r="P21" i="1"/>
  <c r="P22" i="1"/>
  <c r="P23" i="1"/>
  <c r="P24" i="1"/>
  <c r="P2" i="1"/>
  <c r="O3" i="1"/>
  <c r="O4" i="1"/>
  <c r="O5" i="1"/>
  <c r="O6" i="1"/>
  <c r="O7" i="1"/>
  <c r="O8" i="1"/>
  <c r="O9" i="1"/>
  <c r="O11" i="1"/>
  <c r="O13" i="1"/>
  <c r="O14" i="1"/>
  <c r="O15" i="1"/>
  <c r="O16" i="1"/>
  <c r="O17" i="1"/>
  <c r="O18" i="1"/>
  <c r="O19" i="1"/>
  <c r="O20" i="1"/>
  <c r="O21" i="1"/>
  <c r="O22" i="1"/>
  <c r="O23" i="1"/>
  <c r="O24" i="1"/>
  <c r="O2" i="1"/>
  <c r="N3" i="1"/>
  <c r="N4" i="1"/>
  <c r="N5" i="1"/>
  <c r="N6" i="1"/>
  <c r="N7" i="1"/>
  <c r="N8" i="1"/>
  <c r="N9" i="1"/>
  <c r="N10" i="1"/>
  <c r="O10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" i="1"/>
  <c r="O12" i="1" l="1"/>
  <c r="P12" i="1" s="1"/>
  <c r="P10" i="1"/>
</calcChain>
</file>

<file path=xl/sharedStrings.xml><?xml version="1.0" encoding="utf-8"?>
<sst xmlns="http://schemas.openxmlformats.org/spreadsheetml/2006/main" count="115" uniqueCount="77">
  <si>
    <t>Name</t>
  </si>
  <si>
    <t>Yearly Total</t>
  </si>
  <si>
    <t>Yearly Emission</t>
  </si>
  <si>
    <t>Total Emission (tCO2e)</t>
  </si>
  <si>
    <t>Tukaram Gaikwad</t>
  </si>
  <si>
    <t>Vaishnavi Industries</t>
  </si>
  <si>
    <t>Rajaram Pawar</t>
  </si>
  <si>
    <t>Chandrashekhar Pawar</t>
  </si>
  <si>
    <t>Rajesh Pawar</t>
  </si>
  <si>
    <t>Sharad Pawar</t>
  </si>
  <si>
    <t>Ashok Pawar</t>
  </si>
  <si>
    <t>Jayshri Nawale</t>
  </si>
  <si>
    <t>Pappan Pawar</t>
  </si>
  <si>
    <t>Gajanan Pawar</t>
  </si>
  <si>
    <t>Prathamesh</t>
  </si>
  <si>
    <t>Staffroom 1</t>
  </si>
  <si>
    <t>Staffroom 2</t>
  </si>
  <si>
    <t>Staffroom 3</t>
  </si>
  <si>
    <t>Staffroom 4</t>
  </si>
  <si>
    <t>Staffroom 5</t>
  </si>
  <si>
    <t>Staffroom 6</t>
  </si>
  <si>
    <t>Staffroom 7</t>
  </si>
  <si>
    <t>Staffroom 8</t>
  </si>
  <si>
    <t>Staffroom 9</t>
  </si>
  <si>
    <t>Staffroom 10</t>
  </si>
  <si>
    <t>Staffroom 11</t>
  </si>
  <si>
    <t>Staffroom 12</t>
  </si>
  <si>
    <t>Location</t>
  </si>
  <si>
    <t>Total Industries</t>
  </si>
  <si>
    <t>Tathawade</t>
  </si>
  <si>
    <t>Alhat</t>
  </si>
  <si>
    <t>Ganesh Total</t>
  </si>
  <si>
    <t>Ranjangaon</t>
  </si>
  <si>
    <t>Radiance</t>
  </si>
  <si>
    <t>Kalp</t>
  </si>
  <si>
    <t>Pune Urban</t>
  </si>
  <si>
    <t>Ashirvad</t>
  </si>
  <si>
    <t>Chakan</t>
  </si>
  <si>
    <t>Dharne</t>
  </si>
  <si>
    <t>Yearly Diesel Consumption</t>
  </si>
  <si>
    <t>Tathawade Diesel</t>
  </si>
  <si>
    <t>Tathawade Petrol</t>
  </si>
  <si>
    <t>Yearly Consumption</t>
  </si>
  <si>
    <t>Anupam</t>
  </si>
  <si>
    <t>Purnisha</t>
  </si>
  <si>
    <t>Rohit</t>
  </si>
  <si>
    <t>Vaibhav</t>
  </si>
  <si>
    <t>Sanjay</t>
  </si>
  <si>
    <t>Akhil</t>
  </si>
  <si>
    <t>Rinku</t>
  </si>
  <si>
    <t>Basudev</t>
  </si>
  <si>
    <t xml:space="preserve"> </t>
  </si>
  <si>
    <t xml:space="preserve"> Location</t>
  </si>
  <si>
    <t>Vehicle Type</t>
  </si>
  <si>
    <t>Trip wise</t>
  </si>
  <si>
    <t>Yearly Emission (tCO2e)</t>
  </si>
  <si>
    <t>Months</t>
  </si>
  <si>
    <t>Total Expense (₹)</t>
  </si>
  <si>
    <t>Category</t>
  </si>
  <si>
    <t>Yearly Expense (₹)</t>
  </si>
  <si>
    <t>Dairy and Dairy Products</t>
  </si>
  <si>
    <t>Cooking oils and Fats</t>
  </si>
  <si>
    <t>Sugar, Jaggery and Sweeteners</t>
  </si>
  <si>
    <t>Spices, Masala &amp; Seasonings</t>
  </si>
  <si>
    <t>Rice, Flour, Grains &amp; Cereals</t>
  </si>
  <si>
    <t>Pulses &amp; Lentils</t>
  </si>
  <si>
    <t>Vegetables &amp; Herbs (Fresh Produce)</t>
  </si>
  <si>
    <t>Fruits</t>
  </si>
  <si>
    <t>Meat, Poultry, Egg &amp; Seafood</t>
  </si>
  <si>
    <t>Bakery, Snacks &amp; Confectionery</t>
  </si>
  <si>
    <t>Beverages</t>
  </si>
  <si>
    <t>Packaging &amp; Disposables</t>
  </si>
  <si>
    <t>Cleaning, Hygiene &amp; Safety</t>
  </si>
  <si>
    <t>Stationery &amp; Office Supplies</t>
  </si>
  <si>
    <t>Kitchen Equipment, Utensils &amp; Small Assets</t>
  </si>
  <si>
    <t>Miscellaneous / Others</t>
  </si>
  <si>
    <t>Yearly Wastage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</si>
</sst>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0" fontId="0" fillId="0" borderId="0" xfId="0" applyFont="1"/>
    <xf numFmtId="17" fontId="0" fillId="0" borderId="0" xfId="0" applyNumberFormat="1" applyFont="1"/>
    <xf numFmtId="164" fontId="0" fillId="0" borderId="0" xfId="0" applyNumberFormat="1" applyFont="1"/>
    <xf numFmtId="4" fontId="0" fillId="0" borderId="0" xfId="0" applyNumberFormat="1" applyFont="1"/>
    <xf numFmtId="164" fontId="2" fillId="0" borderId="0" xfId="0" applyNumberFormat="1" applyFont="1"/>
    <xf numFmtId="0" fontId="0" fillId="0" borderId="0" xfId="0" applyFont="1" applyAlignment="1">
      <alignment vertical="center"/>
    </xf>
    <xf numFmtId="17" fontId="0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7D15-7C2B-4050-817C-FA3430B2A36A}">
  <dimension ref="A1:P24"/>
  <sheetViews>
    <sheetView workbookViewId="0">
      <selection activeCell="J27" sqref="A1:XFD1048576"/>
    </sheetView>
  </sheetViews>
  <sheetFormatPr defaultColWidth="8.85546875" defaultRowHeight="15"/>
  <cols>
    <col min="1" max="1" width="20" style="7" bestFit="1" customWidth="1"/>
    <col min="2" max="13" width="8.85546875" style="7"/>
    <col min="14" max="14" width="10.140625" style="7" bestFit="1" customWidth="1"/>
    <col min="15" max="15" width="13.5703125" style="7" bestFit="1" customWidth="1"/>
    <col min="16" max="16" width="19.28515625" style="7" bestFit="1" customWidth="1"/>
    <col min="17" max="16384" width="8.85546875" style="7"/>
  </cols>
  <sheetData>
    <row r="1" spans="1:16">
      <c r="A1" s="7" t="s">
        <v>0</v>
      </c>
      <c r="B1" s="8">
        <v>45748</v>
      </c>
      <c r="C1" s="8">
        <v>45778</v>
      </c>
      <c r="D1" s="8">
        <v>45809</v>
      </c>
      <c r="E1" s="8">
        <v>45839</v>
      </c>
      <c r="F1" s="8">
        <v>45870</v>
      </c>
      <c r="G1" s="8">
        <v>45901</v>
      </c>
      <c r="H1" s="8">
        <v>45931</v>
      </c>
      <c r="I1" s="8">
        <v>45962</v>
      </c>
      <c r="J1" s="8">
        <v>45992</v>
      </c>
      <c r="K1" s="8">
        <v>46023</v>
      </c>
      <c r="L1" s="8">
        <v>46054</v>
      </c>
      <c r="M1" s="8">
        <v>46082</v>
      </c>
      <c r="N1" s="7" t="s">
        <v>1</v>
      </c>
      <c r="O1" s="7" t="s">
        <v>2</v>
      </c>
      <c r="P1" s="7" t="s">
        <v>3</v>
      </c>
    </row>
    <row r="2" spans="1:16">
      <c r="A2" s="7" t="s">
        <v>4</v>
      </c>
      <c r="B2" s="7">
        <v>374</v>
      </c>
      <c r="C2" s="7">
        <v>1094</v>
      </c>
      <c r="D2" s="7">
        <v>1094</v>
      </c>
      <c r="E2" s="7">
        <v>4034</v>
      </c>
      <c r="F2" s="7">
        <v>2346</v>
      </c>
      <c r="G2" s="7">
        <v>2380</v>
      </c>
      <c r="H2" s="7">
        <v>2225</v>
      </c>
      <c r="I2" s="7">
        <v>2193</v>
      </c>
      <c r="J2" s="7">
        <v>1886</v>
      </c>
      <c r="K2" s="7">
        <v>1513</v>
      </c>
      <c r="L2" s="7">
        <v>1875</v>
      </c>
      <c r="M2" s="7">
        <v>1211</v>
      </c>
      <c r="N2" s="7">
        <f>SUM(B2:M2)</f>
        <v>22225</v>
      </c>
      <c r="O2" s="7">
        <f>N2*0.71</f>
        <v>15779.75</v>
      </c>
      <c r="P2" s="7">
        <f>O2/1000</f>
        <v>15.77975</v>
      </c>
    </row>
    <row r="3" spans="1:16">
      <c r="A3" s="7" t="s">
        <v>5</v>
      </c>
      <c r="B3" s="7">
        <v>2877</v>
      </c>
      <c r="C3" s="7">
        <v>3495</v>
      </c>
      <c r="D3" s="7">
        <v>3676</v>
      </c>
      <c r="E3" s="7">
        <v>4069</v>
      </c>
      <c r="F3" s="7">
        <v>4135</v>
      </c>
      <c r="G3" s="7">
        <v>4247</v>
      </c>
      <c r="H3" s="7">
        <v>4061</v>
      </c>
      <c r="I3" s="7">
        <v>3789</v>
      </c>
      <c r="J3" s="7">
        <v>3721</v>
      </c>
      <c r="K3" s="7">
        <v>3683</v>
      </c>
      <c r="L3" s="7">
        <v>3334</v>
      </c>
      <c r="M3" s="7">
        <v>3268</v>
      </c>
      <c r="N3" s="7">
        <f t="shared" ref="N3:N24" si="0">SUM(B3:M3)</f>
        <v>44355</v>
      </c>
      <c r="O3" s="7">
        <f t="shared" ref="O3:O24" si="1">N3*0.71</f>
        <v>31492.05</v>
      </c>
      <c r="P3" s="7">
        <f t="shared" ref="P3:P24" si="2">O3/1000</f>
        <v>31.492049999999999</v>
      </c>
    </row>
    <row r="4" spans="1:16">
      <c r="A4" s="7" t="s">
        <v>6</v>
      </c>
      <c r="B4" s="7">
        <v>1264</v>
      </c>
      <c r="C4" s="7">
        <v>1128</v>
      </c>
      <c r="D4" s="7">
        <v>1291</v>
      </c>
      <c r="E4" s="7">
        <v>1265</v>
      </c>
      <c r="F4" s="7">
        <v>1275</v>
      </c>
      <c r="G4" s="7">
        <v>1422</v>
      </c>
      <c r="H4" s="7">
        <v>1454</v>
      </c>
      <c r="I4" s="7">
        <v>1449</v>
      </c>
      <c r="J4" s="7">
        <v>1328</v>
      </c>
      <c r="K4" s="7">
        <v>1387</v>
      </c>
      <c r="L4" s="7">
        <v>1571</v>
      </c>
      <c r="M4" s="7">
        <v>1296</v>
      </c>
      <c r="N4" s="7">
        <f t="shared" si="0"/>
        <v>16130</v>
      </c>
      <c r="O4" s="7">
        <f t="shared" si="1"/>
        <v>11452.3</v>
      </c>
      <c r="P4" s="7">
        <f t="shared" si="2"/>
        <v>11.452299999999999</v>
      </c>
    </row>
    <row r="5" spans="1:16">
      <c r="A5" s="7" t="s">
        <v>7</v>
      </c>
      <c r="B5" s="7">
        <v>385</v>
      </c>
      <c r="C5" s="7">
        <v>335</v>
      </c>
      <c r="D5" s="7">
        <v>384</v>
      </c>
      <c r="E5" s="7">
        <v>396</v>
      </c>
      <c r="F5" s="7">
        <v>337</v>
      </c>
      <c r="G5" s="7">
        <v>646</v>
      </c>
      <c r="H5" s="7">
        <v>668</v>
      </c>
      <c r="I5" s="7">
        <v>490</v>
      </c>
      <c r="J5" s="7">
        <v>322</v>
      </c>
      <c r="K5" s="7">
        <v>412</v>
      </c>
      <c r="L5" s="7">
        <v>463</v>
      </c>
      <c r="M5" s="7">
        <v>557</v>
      </c>
      <c r="N5" s="7">
        <f t="shared" si="0"/>
        <v>5395</v>
      </c>
      <c r="O5" s="7">
        <f t="shared" si="1"/>
        <v>3830.45</v>
      </c>
      <c r="P5" s="7">
        <f t="shared" si="2"/>
        <v>3.8304499999999999</v>
      </c>
    </row>
    <row r="6" spans="1:16">
      <c r="A6" s="7" t="s">
        <v>8</v>
      </c>
      <c r="B6" s="7">
        <v>445</v>
      </c>
      <c r="C6" s="7">
        <v>400</v>
      </c>
      <c r="D6" s="7">
        <v>439</v>
      </c>
      <c r="E6" s="7">
        <v>397</v>
      </c>
      <c r="F6" s="7">
        <v>380</v>
      </c>
      <c r="G6" s="7">
        <v>22</v>
      </c>
      <c r="H6" s="7">
        <v>266</v>
      </c>
      <c r="I6" s="7">
        <v>445</v>
      </c>
      <c r="J6" s="7">
        <v>445</v>
      </c>
      <c r="K6" s="7">
        <v>445</v>
      </c>
      <c r="L6" s="7">
        <v>445</v>
      </c>
      <c r="M6" s="7">
        <v>445</v>
      </c>
      <c r="N6" s="7">
        <f t="shared" si="0"/>
        <v>4574</v>
      </c>
      <c r="O6" s="7">
        <f t="shared" si="1"/>
        <v>3247.54</v>
      </c>
      <c r="P6" s="7">
        <f t="shared" si="2"/>
        <v>3.2475399999999999</v>
      </c>
    </row>
    <row r="7" spans="1:16">
      <c r="A7" s="7" t="s">
        <v>9</v>
      </c>
      <c r="B7" s="7">
        <v>263</v>
      </c>
      <c r="C7" s="7">
        <v>253</v>
      </c>
      <c r="D7" s="7">
        <v>269</v>
      </c>
      <c r="E7" s="7">
        <v>260</v>
      </c>
      <c r="F7" s="7">
        <v>255</v>
      </c>
      <c r="G7" s="7">
        <v>222</v>
      </c>
      <c r="H7" s="7">
        <v>248</v>
      </c>
      <c r="I7" s="7">
        <v>216</v>
      </c>
      <c r="J7" s="7">
        <v>91</v>
      </c>
      <c r="K7" s="7">
        <v>95</v>
      </c>
      <c r="L7" s="7">
        <v>198</v>
      </c>
      <c r="M7" s="7">
        <v>174</v>
      </c>
      <c r="N7" s="7">
        <f t="shared" si="0"/>
        <v>2544</v>
      </c>
      <c r="O7" s="7">
        <f t="shared" si="1"/>
        <v>1806.24</v>
      </c>
      <c r="P7" s="7">
        <f t="shared" si="2"/>
        <v>1.8062400000000001</v>
      </c>
    </row>
    <row r="8" spans="1:16">
      <c r="A8" s="7" t="s">
        <v>10</v>
      </c>
      <c r="B8" s="7">
        <v>440</v>
      </c>
      <c r="C8" s="7">
        <v>461</v>
      </c>
      <c r="D8" s="7">
        <v>326</v>
      </c>
      <c r="E8" s="7">
        <v>428</v>
      </c>
      <c r="F8" s="7">
        <v>450</v>
      </c>
      <c r="G8" s="7">
        <v>464</v>
      </c>
      <c r="H8" s="7">
        <v>452</v>
      </c>
      <c r="I8" s="7">
        <v>353</v>
      </c>
      <c r="J8" s="7">
        <v>250</v>
      </c>
      <c r="K8" s="7">
        <v>237</v>
      </c>
      <c r="L8" s="7">
        <v>314</v>
      </c>
      <c r="M8" s="7">
        <v>330</v>
      </c>
      <c r="N8" s="7">
        <f t="shared" si="0"/>
        <v>4505</v>
      </c>
      <c r="O8" s="7">
        <f t="shared" si="1"/>
        <v>3198.5499999999997</v>
      </c>
      <c r="P8" s="7">
        <f t="shared" si="2"/>
        <v>3.1985499999999996</v>
      </c>
    </row>
    <row r="9" spans="1:16">
      <c r="A9" s="7" t="s">
        <v>11</v>
      </c>
      <c r="B9" s="7">
        <v>424</v>
      </c>
      <c r="C9" s="7">
        <v>455</v>
      </c>
      <c r="D9" s="7">
        <v>549</v>
      </c>
      <c r="E9" s="7">
        <v>557</v>
      </c>
      <c r="F9" s="7">
        <v>648</v>
      </c>
      <c r="G9" s="7">
        <v>481</v>
      </c>
      <c r="H9" s="7">
        <v>516</v>
      </c>
      <c r="I9" s="7">
        <v>619</v>
      </c>
      <c r="J9" s="7">
        <v>514</v>
      </c>
      <c r="K9" s="7">
        <v>591</v>
      </c>
      <c r="L9" s="7">
        <v>694</v>
      </c>
      <c r="M9" s="7">
        <v>762</v>
      </c>
      <c r="N9" s="7">
        <f t="shared" si="0"/>
        <v>6810</v>
      </c>
      <c r="O9" s="7">
        <f t="shared" si="1"/>
        <v>4835.0999999999995</v>
      </c>
      <c r="P9" s="7">
        <f t="shared" si="2"/>
        <v>4.8350999999999997</v>
      </c>
    </row>
    <row r="10" spans="1:16">
      <c r="A10" s="7" t="s">
        <v>12</v>
      </c>
      <c r="B10" s="7">
        <v>6250</v>
      </c>
      <c r="C10" s="7">
        <v>6301</v>
      </c>
      <c r="D10" s="7">
        <v>6356</v>
      </c>
      <c r="E10" s="7">
        <v>6402</v>
      </c>
      <c r="F10" s="7">
        <v>6405</v>
      </c>
      <c r="G10" s="7">
        <v>6506</v>
      </c>
      <c r="H10" s="7">
        <v>6463</v>
      </c>
      <c r="I10" s="7">
        <v>6663</v>
      </c>
      <c r="J10" s="7">
        <v>6756</v>
      </c>
      <c r="K10" s="7">
        <v>6147</v>
      </c>
      <c r="L10" s="7">
        <v>5713</v>
      </c>
      <c r="M10" s="7">
        <v>6159</v>
      </c>
      <c r="N10" s="7">
        <f t="shared" si="0"/>
        <v>76121</v>
      </c>
      <c r="O10" s="7">
        <f t="shared" si="1"/>
        <v>54045.909999999996</v>
      </c>
      <c r="P10" s="7">
        <f t="shared" si="2"/>
        <v>54.045909999999999</v>
      </c>
    </row>
    <row r="11" spans="1:16">
      <c r="A11" s="7" t="s">
        <v>13</v>
      </c>
      <c r="B11" s="7">
        <v>6070</v>
      </c>
      <c r="C11" s="7">
        <v>5223</v>
      </c>
      <c r="D11" s="7">
        <v>6070</v>
      </c>
      <c r="E11" s="7">
        <v>3649</v>
      </c>
      <c r="F11" s="7">
        <v>4034</v>
      </c>
      <c r="G11" s="7">
        <v>4221</v>
      </c>
      <c r="H11" s="7">
        <v>4781</v>
      </c>
      <c r="I11" s="7">
        <v>4726</v>
      </c>
      <c r="J11" s="7">
        <v>4029</v>
      </c>
      <c r="K11" s="7">
        <v>4170</v>
      </c>
      <c r="L11" s="7">
        <v>4971</v>
      </c>
      <c r="M11" s="7">
        <v>5748</v>
      </c>
      <c r="N11" s="7">
        <f t="shared" si="0"/>
        <v>57692</v>
      </c>
      <c r="O11" s="7">
        <f t="shared" si="1"/>
        <v>40961.32</v>
      </c>
      <c r="P11" s="7">
        <f t="shared" si="2"/>
        <v>40.961320000000001</v>
      </c>
    </row>
    <row r="12" spans="1:16">
      <c r="A12" s="7" t="s">
        <v>14</v>
      </c>
      <c r="B12" s="7">
        <v>2527</v>
      </c>
      <c r="C12" s="7">
        <v>677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183</v>
      </c>
      <c r="J12" s="7">
        <v>90</v>
      </c>
      <c r="K12" s="7">
        <v>2479</v>
      </c>
      <c r="L12" s="7">
        <v>3193</v>
      </c>
      <c r="M12" s="7">
        <v>4232</v>
      </c>
      <c r="N12" s="7">
        <f t="shared" si="0"/>
        <v>13381</v>
      </c>
      <c r="O12" s="7">
        <f t="shared" si="1"/>
        <v>9500.51</v>
      </c>
      <c r="P12" s="7">
        <f t="shared" si="2"/>
        <v>9.5005100000000002</v>
      </c>
    </row>
    <row r="13" spans="1:16">
      <c r="A13" s="7" t="s">
        <v>15</v>
      </c>
      <c r="B13" s="7">
        <v>43</v>
      </c>
      <c r="C13" s="7">
        <v>43</v>
      </c>
      <c r="D13" s="7">
        <v>43</v>
      </c>
      <c r="E13" s="7">
        <v>43</v>
      </c>
      <c r="F13" s="7">
        <v>43</v>
      </c>
      <c r="G13" s="7">
        <v>43</v>
      </c>
      <c r="H13" s="7">
        <v>43</v>
      </c>
      <c r="I13" s="7">
        <v>43</v>
      </c>
      <c r="J13" s="7">
        <v>43</v>
      </c>
      <c r="K13" s="7">
        <v>43</v>
      </c>
      <c r="L13" s="7">
        <v>43</v>
      </c>
      <c r="M13" s="7">
        <v>43</v>
      </c>
      <c r="N13" s="7">
        <f t="shared" si="0"/>
        <v>516</v>
      </c>
      <c r="O13" s="7">
        <f t="shared" si="1"/>
        <v>366.35999999999996</v>
      </c>
      <c r="P13" s="7">
        <f t="shared" si="2"/>
        <v>0.36635999999999996</v>
      </c>
    </row>
    <row r="14" spans="1:16">
      <c r="A14" s="7" t="s">
        <v>16</v>
      </c>
      <c r="B14" s="7">
        <v>43</v>
      </c>
      <c r="C14" s="7">
        <v>43</v>
      </c>
      <c r="D14" s="7">
        <v>43</v>
      </c>
      <c r="E14" s="7">
        <v>43</v>
      </c>
      <c r="F14" s="7">
        <v>43</v>
      </c>
      <c r="G14" s="7">
        <v>43</v>
      </c>
      <c r="H14" s="7">
        <v>43</v>
      </c>
      <c r="I14" s="7">
        <v>43</v>
      </c>
      <c r="J14" s="7">
        <v>43</v>
      </c>
      <c r="K14" s="7">
        <v>43</v>
      </c>
      <c r="L14" s="7">
        <v>43</v>
      </c>
      <c r="M14" s="7">
        <v>43</v>
      </c>
      <c r="N14" s="7">
        <f t="shared" si="0"/>
        <v>516</v>
      </c>
      <c r="O14" s="7">
        <f t="shared" si="1"/>
        <v>366.35999999999996</v>
      </c>
      <c r="P14" s="7">
        <f t="shared" si="2"/>
        <v>0.36635999999999996</v>
      </c>
    </row>
    <row r="15" spans="1:16">
      <c r="A15" s="7" t="s">
        <v>17</v>
      </c>
      <c r="B15" s="7">
        <v>43</v>
      </c>
      <c r="C15" s="7">
        <v>43</v>
      </c>
      <c r="D15" s="7">
        <v>43</v>
      </c>
      <c r="E15" s="7">
        <v>43</v>
      </c>
      <c r="F15" s="7">
        <v>43</v>
      </c>
      <c r="G15" s="7">
        <v>43</v>
      </c>
      <c r="H15" s="7">
        <v>43</v>
      </c>
      <c r="I15" s="7">
        <v>43</v>
      </c>
      <c r="J15" s="7">
        <v>43</v>
      </c>
      <c r="K15" s="7">
        <v>43</v>
      </c>
      <c r="L15" s="7">
        <v>43</v>
      </c>
      <c r="M15" s="7">
        <v>43</v>
      </c>
      <c r="N15" s="7">
        <f t="shared" si="0"/>
        <v>516</v>
      </c>
      <c r="O15" s="7">
        <f t="shared" si="1"/>
        <v>366.35999999999996</v>
      </c>
      <c r="P15" s="7">
        <f t="shared" si="2"/>
        <v>0.36635999999999996</v>
      </c>
    </row>
    <row r="16" spans="1:16">
      <c r="A16" s="7" t="s">
        <v>18</v>
      </c>
      <c r="B16" s="7">
        <v>43</v>
      </c>
      <c r="C16" s="7">
        <v>43</v>
      </c>
      <c r="D16" s="7">
        <v>43</v>
      </c>
      <c r="E16" s="7">
        <v>43</v>
      </c>
      <c r="F16" s="7">
        <v>43</v>
      </c>
      <c r="G16" s="7">
        <v>43</v>
      </c>
      <c r="H16" s="7">
        <v>43</v>
      </c>
      <c r="I16" s="7">
        <v>43</v>
      </c>
      <c r="J16" s="7">
        <v>43</v>
      </c>
      <c r="K16" s="7">
        <v>43</v>
      </c>
      <c r="L16" s="7">
        <v>43</v>
      </c>
      <c r="M16" s="7">
        <v>43</v>
      </c>
      <c r="N16" s="7">
        <f t="shared" si="0"/>
        <v>516</v>
      </c>
      <c r="O16" s="7">
        <f t="shared" si="1"/>
        <v>366.35999999999996</v>
      </c>
      <c r="P16" s="7">
        <f t="shared" si="2"/>
        <v>0.36635999999999996</v>
      </c>
    </row>
    <row r="17" spans="1:16">
      <c r="A17" s="7" t="s">
        <v>19</v>
      </c>
      <c r="B17" s="7">
        <v>43</v>
      </c>
      <c r="C17" s="7">
        <v>43</v>
      </c>
      <c r="D17" s="7">
        <v>43</v>
      </c>
      <c r="E17" s="7">
        <v>43</v>
      </c>
      <c r="F17" s="7">
        <v>43</v>
      </c>
      <c r="G17" s="7">
        <v>43</v>
      </c>
      <c r="H17" s="7">
        <v>43</v>
      </c>
      <c r="I17" s="7">
        <v>43</v>
      </c>
      <c r="J17" s="7">
        <v>43</v>
      </c>
      <c r="K17" s="7">
        <v>43</v>
      </c>
      <c r="L17" s="7">
        <v>43</v>
      </c>
      <c r="M17" s="7">
        <v>43</v>
      </c>
      <c r="N17" s="7">
        <f t="shared" si="0"/>
        <v>516</v>
      </c>
      <c r="O17" s="7">
        <f t="shared" si="1"/>
        <v>366.35999999999996</v>
      </c>
      <c r="P17" s="7">
        <f t="shared" si="2"/>
        <v>0.36635999999999996</v>
      </c>
    </row>
    <row r="18" spans="1:16">
      <c r="A18" s="7" t="s">
        <v>20</v>
      </c>
      <c r="B18" s="7">
        <v>43</v>
      </c>
      <c r="C18" s="7">
        <v>43</v>
      </c>
      <c r="D18" s="7">
        <v>43</v>
      </c>
      <c r="E18" s="7">
        <v>43</v>
      </c>
      <c r="F18" s="7">
        <v>43</v>
      </c>
      <c r="G18" s="7">
        <v>43</v>
      </c>
      <c r="H18" s="7">
        <v>43</v>
      </c>
      <c r="I18" s="7">
        <v>43</v>
      </c>
      <c r="J18" s="7">
        <v>43</v>
      </c>
      <c r="K18" s="7">
        <v>43</v>
      </c>
      <c r="L18" s="7">
        <v>43</v>
      </c>
      <c r="M18" s="7">
        <v>43</v>
      </c>
      <c r="N18" s="7">
        <f t="shared" si="0"/>
        <v>516</v>
      </c>
      <c r="O18" s="7">
        <f t="shared" si="1"/>
        <v>366.35999999999996</v>
      </c>
      <c r="P18" s="7">
        <f t="shared" si="2"/>
        <v>0.36635999999999996</v>
      </c>
    </row>
    <row r="19" spans="1:16">
      <c r="A19" s="7" t="s">
        <v>21</v>
      </c>
      <c r="B19" s="7">
        <v>43</v>
      </c>
      <c r="C19" s="7">
        <v>43</v>
      </c>
      <c r="D19" s="7">
        <v>43</v>
      </c>
      <c r="E19" s="7">
        <v>43</v>
      </c>
      <c r="F19" s="7">
        <v>43</v>
      </c>
      <c r="G19" s="7">
        <v>43</v>
      </c>
      <c r="H19" s="7">
        <v>43</v>
      </c>
      <c r="I19" s="7">
        <v>43</v>
      </c>
      <c r="J19" s="7">
        <v>43</v>
      </c>
      <c r="K19" s="7">
        <v>43</v>
      </c>
      <c r="L19" s="7">
        <v>43</v>
      </c>
      <c r="M19" s="7">
        <v>43</v>
      </c>
      <c r="N19" s="7">
        <f t="shared" si="0"/>
        <v>516</v>
      </c>
      <c r="O19" s="7">
        <f t="shared" si="1"/>
        <v>366.35999999999996</v>
      </c>
      <c r="P19" s="7">
        <f t="shared" si="2"/>
        <v>0.36635999999999996</v>
      </c>
    </row>
    <row r="20" spans="1:16">
      <c r="A20" s="7" t="s">
        <v>22</v>
      </c>
      <c r="B20" s="7">
        <v>43</v>
      </c>
      <c r="C20" s="7">
        <v>43</v>
      </c>
      <c r="D20" s="7">
        <v>43</v>
      </c>
      <c r="E20" s="7">
        <v>43</v>
      </c>
      <c r="F20" s="7">
        <v>43</v>
      </c>
      <c r="G20" s="7">
        <v>43</v>
      </c>
      <c r="H20" s="7">
        <v>43</v>
      </c>
      <c r="I20" s="7">
        <v>43</v>
      </c>
      <c r="J20" s="7">
        <v>43</v>
      </c>
      <c r="K20" s="7">
        <v>43</v>
      </c>
      <c r="L20" s="7">
        <v>43</v>
      </c>
      <c r="M20" s="7">
        <v>43</v>
      </c>
      <c r="N20" s="7">
        <f t="shared" si="0"/>
        <v>516</v>
      </c>
      <c r="O20" s="7">
        <f t="shared" si="1"/>
        <v>366.35999999999996</v>
      </c>
      <c r="P20" s="7">
        <f t="shared" si="2"/>
        <v>0.36635999999999996</v>
      </c>
    </row>
    <row r="21" spans="1:16">
      <c r="A21" s="7" t="s">
        <v>23</v>
      </c>
      <c r="B21" s="7">
        <v>43</v>
      </c>
      <c r="C21" s="7">
        <v>43</v>
      </c>
      <c r="D21" s="7">
        <v>43</v>
      </c>
      <c r="E21" s="7">
        <v>43</v>
      </c>
      <c r="F21" s="7">
        <v>43</v>
      </c>
      <c r="G21" s="7">
        <v>43</v>
      </c>
      <c r="H21" s="7">
        <v>43</v>
      </c>
      <c r="I21" s="7">
        <v>43</v>
      </c>
      <c r="J21" s="7">
        <v>43</v>
      </c>
      <c r="K21" s="7">
        <v>43</v>
      </c>
      <c r="L21" s="7">
        <v>43</v>
      </c>
      <c r="M21" s="7">
        <v>43</v>
      </c>
      <c r="N21" s="7">
        <f t="shared" si="0"/>
        <v>516</v>
      </c>
      <c r="O21" s="7">
        <f t="shared" si="1"/>
        <v>366.35999999999996</v>
      </c>
      <c r="P21" s="7">
        <f t="shared" si="2"/>
        <v>0.36635999999999996</v>
      </c>
    </row>
    <row r="22" spans="1:16">
      <c r="A22" s="7" t="s">
        <v>24</v>
      </c>
      <c r="B22" s="7">
        <v>43</v>
      </c>
      <c r="C22" s="7">
        <v>43</v>
      </c>
      <c r="D22" s="7">
        <v>43</v>
      </c>
      <c r="E22" s="7">
        <v>43</v>
      </c>
      <c r="F22" s="7">
        <v>43</v>
      </c>
      <c r="G22" s="7">
        <v>43</v>
      </c>
      <c r="H22" s="7">
        <v>43</v>
      </c>
      <c r="I22" s="7">
        <v>43</v>
      </c>
      <c r="J22" s="7">
        <v>43</v>
      </c>
      <c r="K22" s="7">
        <v>43</v>
      </c>
      <c r="L22" s="7">
        <v>43</v>
      </c>
      <c r="M22" s="7">
        <v>43</v>
      </c>
      <c r="N22" s="7">
        <f t="shared" si="0"/>
        <v>516</v>
      </c>
      <c r="O22" s="7">
        <f t="shared" si="1"/>
        <v>366.35999999999996</v>
      </c>
      <c r="P22" s="7">
        <f t="shared" si="2"/>
        <v>0.36635999999999996</v>
      </c>
    </row>
    <row r="23" spans="1:16">
      <c r="A23" s="7" t="s">
        <v>25</v>
      </c>
      <c r="B23" s="7">
        <v>43</v>
      </c>
      <c r="C23" s="7">
        <v>43</v>
      </c>
      <c r="D23" s="7">
        <v>43</v>
      </c>
      <c r="E23" s="7">
        <v>43</v>
      </c>
      <c r="F23" s="7">
        <v>43</v>
      </c>
      <c r="G23" s="7">
        <v>43</v>
      </c>
      <c r="H23" s="7">
        <v>43</v>
      </c>
      <c r="I23" s="7">
        <v>43</v>
      </c>
      <c r="J23" s="7">
        <v>43</v>
      </c>
      <c r="K23" s="7">
        <v>43</v>
      </c>
      <c r="L23" s="7">
        <v>43</v>
      </c>
      <c r="M23" s="7">
        <v>43</v>
      </c>
      <c r="N23" s="7">
        <f t="shared" si="0"/>
        <v>516</v>
      </c>
      <c r="O23" s="7">
        <f t="shared" si="1"/>
        <v>366.35999999999996</v>
      </c>
      <c r="P23" s="7">
        <f t="shared" si="2"/>
        <v>0.36635999999999996</v>
      </c>
    </row>
    <row r="24" spans="1:16">
      <c r="A24" s="7" t="s">
        <v>26</v>
      </c>
      <c r="B24" s="7">
        <v>43</v>
      </c>
      <c r="C24" s="7">
        <v>43</v>
      </c>
      <c r="D24" s="7">
        <v>43</v>
      </c>
      <c r="E24" s="7">
        <v>43</v>
      </c>
      <c r="F24" s="7">
        <v>43</v>
      </c>
      <c r="G24" s="7">
        <v>43</v>
      </c>
      <c r="H24" s="7">
        <v>43</v>
      </c>
      <c r="I24" s="7">
        <v>43</v>
      </c>
      <c r="J24" s="7">
        <v>43</v>
      </c>
      <c r="K24" s="7">
        <v>43</v>
      </c>
      <c r="L24" s="7">
        <v>43</v>
      </c>
      <c r="M24" s="7">
        <v>43</v>
      </c>
      <c r="N24" s="7">
        <f t="shared" si="0"/>
        <v>516</v>
      </c>
      <c r="O24" s="7">
        <f t="shared" si="1"/>
        <v>366.35999999999996</v>
      </c>
      <c r="P24" s="7">
        <f t="shared" si="2"/>
        <v>0.36635999999999996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FCB-EE9D-4EFB-95F6-21E36DD428F5}">
  <dimension ref="A1:Q10"/>
  <sheetViews>
    <sheetView workbookViewId="0">
      <selection activeCell="J13" sqref="A1:XFD1048576"/>
    </sheetView>
  </sheetViews>
  <sheetFormatPr defaultColWidth="8.85546875" defaultRowHeight="14.45"/>
  <cols>
    <col min="1" max="1" width="13.28515625" style="2" bestFit="1" customWidth="1"/>
    <col min="2" max="2" width="27.5703125" style="2" bestFit="1" customWidth="1"/>
    <col min="3" max="3" width="6.42578125" style="2" bestFit="1" customWidth="1"/>
    <col min="4" max="4" width="6.85546875" style="2" bestFit="1" customWidth="1"/>
    <col min="5" max="5" width="6.28515625" style="2" bestFit="1" customWidth="1"/>
    <col min="6" max="6" width="6" style="2" bestFit="1" customWidth="1"/>
    <col min="7" max="8" width="6.7109375" style="2" bestFit="1" customWidth="1"/>
    <col min="9" max="9" width="6.5703125" style="2" bestFit="1" customWidth="1"/>
    <col min="10" max="10" width="6.7109375" style="2" bestFit="1" customWidth="1"/>
    <col min="11" max="11" width="6.85546875" style="2" bestFit="1" customWidth="1"/>
    <col min="12" max="12" width="6.28515625" style="2" bestFit="1" customWidth="1"/>
    <col min="13" max="14" width="6.7109375" style="2" bestFit="1" customWidth="1"/>
    <col min="15" max="15" width="10.140625" style="2" bestFit="1" customWidth="1"/>
    <col min="16" max="16" width="13.5703125" style="2" bestFit="1" customWidth="1"/>
    <col min="17" max="17" width="20.140625" style="2" bestFit="1" customWidth="1"/>
    <col min="18" max="16384" width="8.85546875" style="2"/>
  </cols>
  <sheetData>
    <row r="1" spans="1:17">
      <c r="A1" s="2" t="s">
        <v>0</v>
      </c>
      <c r="B1" s="2" t="s">
        <v>27</v>
      </c>
      <c r="C1" s="3">
        <v>45748</v>
      </c>
      <c r="D1" s="3">
        <v>45778</v>
      </c>
      <c r="E1" s="3">
        <v>45809</v>
      </c>
      <c r="F1" s="3">
        <v>45839</v>
      </c>
      <c r="G1" s="3">
        <v>45870</v>
      </c>
      <c r="H1" s="3">
        <v>45901</v>
      </c>
      <c r="I1" s="3">
        <v>45931</v>
      </c>
      <c r="J1" s="3">
        <v>45962</v>
      </c>
      <c r="K1" s="3">
        <v>45992</v>
      </c>
      <c r="L1" s="3">
        <v>46023</v>
      </c>
      <c r="M1" s="3">
        <v>46054</v>
      </c>
      <c r="N1" s="3">
        <v>46082</v>
      </c>
      <c r="O1" s="2" t="s">
        <v>1</v>
      </c>
      <c r="P1" s="2" t="s">
        <v>2</v>
      </c>
      <c r="Q1" s="2" t="s">
        <v>3</v>
      </c>
    </row>
    <row r="2" spans="1:17">
      <c r="A2" s="2" t="s">
        <v>28</v>
      </c>
      <c r="B2" s="2" t="s">
        <v>29</v>
      </c>
      <c r="C2" s="2">
        <v>11022</v>
      </c>
      <c r="D2" s="2">
        <v>7590</v>
      </c>
      <c r="E2" s="2">
        <v>6864</v>
      </c>
      <c r="F2" s="2">
        <v>14157</v>
      </c>
      <c r="G2" s="2">
        <v>15312</v>
      </c>
      <c r="H2" s="2">
        <v>10362</v>
      </c>
      <c r="I2" s="2">
        <v>19371</v>
      </c>
      <c r="J2" s="2">
        <v>12606</v>
      </c>
      <c r="K2" s="2">
        <v>7557</v>
      </c>
      <c r="L2" s="2">
        <v>15708</v>
      </c>
      <c r="M2" s="2">
        <v>9570</v>
      </c>
      <c r="N2" s="2">
        <v>1617</v>
      </c>
      <c r="O2" s="2">
        <f>SUM(C2:N2)</f>
        <v>131736</v>
      </c>
      <c r="P2" s="2">
        <f>O2*2.98</f>
        <v>392573.27999999997</v>
      </c>
      <c r="Q2" s="2">
        <f>P2/1000</f>
        <v>392.57327999999995</v>
      </c>
    </row>
    <row r="3" spans="1:17">
      <c r="A3" s="2" t="s">
        <v>30</v>
      </c>
      <c r="B3" s="2" t="s">
        <v>29</v>
      </c>
      <c r="C3" s="2">
        <v>285</v>
      </c>
      <c r="D3" s="2">
        <v>323</v>
      </c>
      <c r="E3" s="2">
        <v>114</v>
      </c>
      <c r="F3" s="2">
        <v>266</v>
      </c>
      <c r="G3" s="2">
        <v>361</v>
      </c>
      <c r="H3" s="2">
        <v>570</v>
      </c>
      <c r="I3" s="2">
        <v>323</v>
      </c>
      <c r="J3" s="2">
        <v>285</v>
      </c>
      <c r="K3" s="2">
        <v>152</v>
      </c>
      <c r="L3" s="2">
        <v>0</v>
      </c>
      <c r="M3" s="2">
        <v>0</v>
      </c>
      <c r="N3" s="2">
        <v>0</v>
      </c>
      <c r="O3" s="2">
        <f t="shared" ref="O3:O10" si="0">SUM(C3:N3)</f>
        <v>2679</v>
      </c>
      <c r="P3" s="2">
        <f t="shared" ref="P3:P10" si="1">O3*2.98</f>
        <v>7983.42</v>
      </c>
      <c r="Q3" s="2">
        <f t="shared" ref="Q3:Q10" si="2">P3/1000</f>
        <v>7.9834199999999997</v>
      </c>
    </row>
    <row r="4" spans="1:17">
      <c r="A4" s="2" t="s">
        <v>31</v>
      </c>
      <c r="B4" s="2" t="s">
        <v>32</v>
      </c>
      <c r="C4" s="2">
        <v>0</v>
      </c>
      <c r="D4" s="2">
        <v>790</v>
      </c>
      <c r="E4" s="2">
        <v>0</v>
      </c>
      <c r="F4" s="2">
        <v>0</v>
      </c>
      <c r="G4" s="2">
        <v>0</v>
      </c>
      <c r="H4" s="2">
        <v>5250</v>
      </c>
      <c r="I4" s="2">
        <v>5004</v>
      </c>
      <c r="J4" s="2">
        <v>5367</v>
      </c>
      <c r="K4" s="2">
        <v>5946</v>
      </c>
      <c r="L4" s="2">
        <v>5511</v>
      </c>
      <c r="M4" s="2">
        <v>4944</v>
      </c>
      <c r="N4" s="2">
        <v>2466</v>
      </c>
      <c r="O4" s="2">
        <f t="shared" si="0"/>
        <v>35278</v>
      </c>
      <c r="P4" s="2">
        <f t="shared" si="1"/>
        <v>105128.44</v>
      </c>
      <c r="Q4" s="2">
        <f t="shared" si="2"/>
        <v>105.12844</v>
      </c>
    </row>
    <row r="5" spans="1:17">
      <c r="A5" s="2" t="s">
        <v>33</v>
      </c>
      <c r="B5" s="2" t="s">
        <v>29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483</v>
      </c>
      <c r="I5" s="2">
        <v>1008</v>
      </c>
      <c r="J5" s="2">
        <v>966</v>
      </c>
      <c r="K5" s="2">
        <v>1470</v>
      </c>
      <c r="L5" s="2">
        <v>1554</v>
      </c>
      <c r="M5" s="2">
        <v>1575</v>
      </c>
      <c r="N5" s="2">
        <v>0</v>
      </c>
      <c r="O5" s="2">
        <f t="shared" si="0"/>
        <v>7056</v>
      </c>
      <c r="P5" s="2">
        <f t="shared" si="1"/>
        <v>21026.880000000001</v>
      </c>
      <c r="Q5" s="2">
        <f t="shared" si="2"/>
        <v>21.026880000000002</v>
      </c>
    </row>
    <row r="6" spans="1:17">
      <c r="A6" s="2" t="s">
        <v>34</v>
      </c>
      <c r="B6" s="2" t="s">
        <v>29</v>
      </c>
      <c r="C6" s="2">
        <v>0</v>
      </c>
      <c r="D6" s="2">
        <v>367</v>
      </c>
      <c r="E6" s="2">
        <v>657</v>
      </c>
      <c r="F6" s="2">
        <v>595</v>
      </c>
      <c r="G6" s="2">
        <v>153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f t="shared" si="0"/>
        <v>1772</v>
      </c>
      <c r="P6" s="2">
        <f t="shared" si="1"/>
        <v>5280.56</v>
      </c>
      <c r="Q6" s="2">
        <f t="shared" si="2"/>
        <v>5.2805600000000004</v>
      </c>
    </row>
    <row r="7" spans="1:17">
      <c r="A7" s="2" t="s">
        <v>35</v>
      </c>
      <c r="B7" s="2" t="s">
        <v>29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532</v>
      </c>
      <c r="N7" s="2">
        <v>2413</v>
      </c>
      <c r="O7" s="2">
        <f t="shared" si="0"/>
        <v>2945</v>
      </c>
      <c r="P7" s="2">
        <f t="shared" si="1"/>
        <v>8776.1</v>
      </c>
      <c r="Q7" s="2">
        <f t="shared" si="2"/>
        <v>8.7760999999999996</v>
      </c>
    </row>
    <row r="8" spans="1:17">
      <c r="A8" s="2" t="s">
        <v>36</v>
      </c>
      <c r="B8" s="2" t="s">
        <v>29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95</v>
      </c>
      <c r="N8" s="2">
        <v>95</v>
      </c>
      <c r="O8" s="2">
        <f t="shared" si="0"/>
        <v>190</v>
      </c>
      <c r="P8" s="2">
        <f t="shared" si="1"/>
        <v>566.20000000000005</v>
      </c>
      <c r="Q8" s="2">
        <f t="shared" si="2"/>
        <v>0.56620000000000004</v>
      </c>
    </row>
    <row r="9" spans="1:17">
      <c r="A9" s="2" t="s">
        <v>35</v>
      </c>
      <c r="B9" s="2" t="s">
        <v>37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494</v>
      </c>
      <c r="K9" s="2">
        <v>475</v>
      </c>
      <c r="L9" s="2">
        <v>4769</v>
      </c>
      <c r="M9" s="2">
        <v>5320</v>
      </c>
      <c r="N9" s="2">
        <v>3287</v>
      </c>
      <c r="O9" s="2">
        <f t="shared" si="0"/>
        <v>14345</v>
      </c>
      <c r="P9" s="2">
        <f t="shared" si="1"/>
        <v>42748.1</v>
      </c>
      <c r="Q9" s="2">
        <f t="shared" si="2"/>
        <v>42.748100000000001</v>
      </c>
    </row>
    <row r="10" spans="1:17">
      <c r="A10" s="2" t="s">
        <v>38</v>
      </c>
      <c r="B10" s="2" t="s">
        <v>32</v>
      </c>
      <c r="C10" s="2">
        <v>4620</v>
      </c>
      <c r="D10" s="2">
        <v>6300</v>
      </c>
      <c r="E10" s="2">
        <v>6300</v>
      </c>
      <c r="F10" s="2">
        <v>8661</v>
      </c>
      <c r="G10" s="2">
        <v>6321</v>
      </c>
      <c r="H10" s="2">
        <v>525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f t="shared" si="0"/>
        <v>32727</v>
      </c>
      <c r="P10" s="2">
        <f t="shared" si="1"/>
        <v>97526.46</v>
      </c>
      <c r="Q10" s="2">
        <f t="shared" si="2"/>
        <v>97.52646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2642-D388-438B-9E89-1AA1C66D6D5E}">
  <dimension ref="A1:D5"/>
  <sheetViews>
    <sheetView workbookViewId="0">
      <selection activeCell="F14" sqref="A1:XFD1048576"/>
    </sheetView>
  </sheetViews>
  <sheetFormatPr defaultColWidth="8.85546875" defaultRowHeight="14.45"/>
  <cols>
    <col min="1" max="1" width="15.28515625" style="2" bestFit="1" customWidth="1"/>
    <col min="2" max="2" width="23.42578125" style="2" bestFit="1" customWidth="1"/>
    <col min="3" max="3" width="14.140625" style="2" bestFit="1" customWidth="1"/>
    <col min="4" max="4" width="20.140625" style="2" bestFit="1" customWidth="1"/>
    <col min="5" max="16384" width="8.85546875" style="2"/>
  </cols>
  <sheetData>
    <row r="1" spans="1:4">
      <c r="A1" s="2" t="s">
        <v>27</v>
      </c>
      <c r="B1" s="2" t="s">
        <v>39</v>
      </c>
      <c r="C1" s="2" t="s">
        <v>2</v>
      </c>
      <c r="D1" s="2" t="s">
        <v>3</v>
      </c>
    </row>
    <row r="2" spans="1:4">
      <c r="A2" s="2" t="s">
        <v>32</v>
      </c>
      <c r="B2" s="2">
        <v>1737.5160659999999</v>
      </c>
      <c r="C2" s="2">
        <f>B2*2.68</f>
        <v>4656.5430568800002</v>
      </c>
      <c r="D2" s="2">
        <f>C2/1000</f>
        <v>4.6565430568800004</v>
      </c>
    </row>
    <row r="3" spans="1:4">
      <c r="A3" s="2" t="s">
        <v>37</v>
      </c>
      <c r="B3" s="2">
        <v>1042.857</v>
      </c>
      <c r="C3" s="2">
        <f t="shared" ref="C3:C4" si="0">B3*2.68</f>
        <v>2794.8567600000001</v>
      </c>
      <c r="D3" s="2">
        <f t="shared" ref="D3:D5" si="1">C3/1000</f>
        <v>2.7948567600000001</v>
      </c>
    </row>
    <row r="4" spans="1:4">
      <c r="A4" s="2" t="s">
        <v>40</v>
      </c>
      <c r="B4" s="2">
        <v>3475.0321319999998</v>
      </c>
      <c r="C4" s="2">
        <f t="shared" si="0"/>
        <v>9313.0861137600004</v>
      </c>
      <c r="D4" s="2">
        <f t="shared" si="1"/>
        <v>9.3130861137600007</v>
      </c>
    </row>
    <row r="5" spans="1:4">
      <c r="A5" s="2" t="s">
        <v>41</v>
      </c>
      <c r="B5" s="2">
        <v>516.26591229999997</v>
      </c>
      <c r="C5" s="2">
        <f>B5*2.31</f>
        <v>1192.5742574129999</v>
      </c>
      <c r="D5" s="2">
        <f t="shared" si="1"/>
        <v>1.192574257413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6CEC-87C9-4725-AB5C-B4AFE8E77152}">
  <dimension ref="A1:D10"/>
  <sheetViews>
    <sheetView workbookViewId="0">
      <selection activeCell="H26" sqref="A1:XFD1048576"/>
    </sheetView>
  </sheetViews>
  <sheetFormatPr defaultColWidth="8.85546875" defaultRowHeight="14.45"/>
  <cols>
    <col min="1" max="1" width="8.85546875" style="2"/>
    <col min="2" max="2" width="17.7109375" style="2" bestFit="1" customWidth="1"/>
    <col min="3" max="3" width="14.140625" style="2" bestFit="1" customWidth="1"/>
    <col min="4" max="4" width="20.140625" style="2" bestFit="1" customWidth="1"/>
    <col min="5" max="16384" width="8.85546875" style="2"/>
  </cols>
  <sheetData>
    <row r="1" spans="1:4">
      <c r="A1" s="2" t="s">
        <v>0</v>
      </c>
      <c r="B1" s="2" t="s">
        <v>42</v>
      </c>
      <c r="C1" s="2" t="s">
        <v>2</v>
      </c>
      <c r="D1" s="2" t="s">
        <v>3</v>
      </c>
    </row>
    <row r="2" spans="1:4">
      <c r="A2" s="2" t="s">
        <v>43</v>
      </c>
      <c r="B2" s="2">
        <v>118.56</v>
      </c>
      <c r="C2" s="2">
        <f>B2*2.31</f>
        <v>273.87360000000001</v>
      </c>
      <c r="D2" s="2">
        <f>C2/1000</f>
        <v>0.27387359999999999</v>
      </c>
    </row>
    <row r="3" spans="1:4">
      <c r="A3" s="2" t="s">
        <v>44</v>
      </c>
      <c r="B3" s="2">
        <v>131.7333333</v>
      </c>
      <c r="C3" s="2">
        <f>B3*2.56</f>
        <v>337.23733324800003</v>
      </c>
      <c r="D3" s="2">
        <f t="shared" ref="D3:D9" si="0">C3/1000</f>
        <v>0.33723733324800004</v>
      </c>
    </row>
    <row r="4" spans="1:4">
      <c r="A4" s="2" t="s">
        <v>45</v>
      </c>
      <c r="B4" s="2">
        <v>160.33333329999999</v>
      </c>
      <c r="C4" s="2">
        <f>B4*2.56</f>
        <v>410.45333324799998</v>
      </c>
      <c r="D4" s="2">
        <f t="shared" si="0"/>
        <v>0.41045333324799999</v>
      </c>
    </row>
    <row r="5" spans="1:4">
      <c r="A5" s="2" t="s">
        <v>46</v>
      </c>
      <c r="B5" s="2">
        <v>426.32</v>
      </c>
      <c r="C5" s="2">
        <f>B5*2.31</f>
        <v>984.79920000000004</v>
      </c>
      <c r="D5" s="2">
        <f t="shared" si="0"/>
        <v>0.9847992000000001</v>
      </c>
    </row>
    <row r="6" spans="1:4">
      <c r="A6" s="2" t="s">
        <v>47</v>
      </c>
      <c r="B6" s="2">
        <v>125.1428571</v>
      </c>
      <c r="C6" s="2">
        <f t="shared" ref="C6:C9" si="1">B6*2.31</f>
        <v>289.07999990100001</v>
      </c>
      <c r="D6" s="2">
        <f t="shared" si="0"/>
        <v>0.28907999990100003</v>
      </c>
    </row>
    <row r="7" spans="1:4">
      <c r="A7" s="2" t="s">
        <v>48</v>
      </c>
      <c r="B7" s="2">
        <v>94.9</v>
      </c>
      <c r="C7" s="2">
        <f t="shared" si="1"/>
        <v>219.21900000000002</v>
      </c>
      <c r="D7" s="2">
        <f t="shared" si="0"/>
        <v>0.21921900000000002</v>
      </c>
    </row>
    <row r="8" spans="1:4">
      <c r="A8" s="2" t="s">
        <v>49</v>
      </c>
      <c r="B8" s="2">
        <v>100.1142857</v>
      </c>
      <c r="C8" s="2">
        <f t="shared" si="1"/>
        <v>231.26399996699999</v>
      </c>
      <c r="D8" s="2">
        <f t="shared" si="0"/>
        <v>0.23126399996699998</v>
      </c>
    </row>
    <row r="9" spans="1:4">
      <c r="A9" s="2" t="s">
        <v>50</v>
      </c>
      <c r="B9" s="2">
        <v>430.06521739999999</v>
      </c>
      <c r="C9" s="2">
        <f t="shared" si="1"/>
        <v>993.45065219399999</v>
      </c>
      <c r="D9" s="2">
        <f t="shared" si="0"/>
        <v>0.99345065219399997</v>
      </c>
    </row>
    <row r="10" spans="1:4">
      <c r="C10" s="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B410-C7D1-47A8-9E0C-BC8BB89B7026}">
  <dimension ref="A1:C4"/>
  <sheetViews>
    <sheetView workbookViewId="0">
      <selection activeCell="G9" sqref="G9"/>
    </sheetView>
  </sheetViews>
  <sheetFormatPr defaultRowHeight="14.45"/>
  <cols>
    <col min="1" max="1" width="10.42578125" bestFit="1" customWidth="1"/>
    <col min="2" max="2" width="17" bestFit="1" customWidth="1"/>
    <col min="3" max="3" width="19.28515625" bestFit="1" customWidth="1"/>
  </cols>
  <sheetData>
    <row r="1" spans="1:3">
      <c r="A1" t="s">
        <v>52</v>
      </c>
      <c r="B1" t="s">
        <v>42</v>
      </c>
      <c r="C1" t="s">
        <v>3</v>
      </c>
    </row>
    <row r="2" spans="1:3">
      <c r="A2" t="s">
        <v>32</v>
      </c>
      <c r="B2">
        <v>4275.0950000000003</v>
      </c>
      <c r="C2">
        <v>11.2115378</v>
      </c>
    </row>
    <row r="3" spans="1:3">
      <c r="A3" t="s">
        <v>37</v>
      </c>
      <c r="B3">
        <v>33551.611109999998</v>
      </c>
      <c r="C3">
        <v>89.918317779999995</v>
      </c>
    </row>
    <row r="4" spans="1:3">
      <c r="A4" t="s">
        <v>29</v>
      </c>
      <c r="B4">
        <v>12761.42943</v>
      </c>
      <c r="C4">
        <v>33.477443000000001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F3D0-BAB3-4BFB-B2C6-88EBC2422E82}">
  <dimension ref="A1:C2"/>
  <sheetViews>
    <sheetView workbookViewId="0">
      <selection activeCell="C3" sqref="C3"/>
    </sheetView>
  </sheetViews>
  <sheetFormatPr defaultRowHeight="14.45"/>
  <cols>
    <col min="1" max="1" width="11" bestFit="1" customWidth="1"/>
    <col min="2" max="2" width="17" bestFit="1" customWidth="1"/>
    <col min="3" max="3" width="19.28515625" bestFit="1" customWidth="1"/>
  </cols>
  <sheetData>
    <row r="1" spans="1:3">
      <c r="A1" t="s">
        <v>53</v>
      </c>
      <c r="B1" t="s">
        <v>42</v>
      </c>
      <c r="C1" t="s">
        <v>3</v>
      </c>
    </row>
    <row r="2" spans="1:3">
      <c r="A2" t="s">
        <v>54</v>
      </c>
      <c r="B2">
        <v>1231.875</v>
      </c>
      <c r="C2">
        <v>3.3014250000000001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9D65-3848-42DD-B07D-E5C43B3BCB63}">
  <dimension ref="A1:C4"/>
  <sheetViews>
    <sheetView workbookViewId="0">
      <selection activeCell="H13" sqref="H13"/>
    </sheetView>
  </sheetViews>
  <sheetFormatPr defaultRowHeight="14.45"/>
  <cols>
    <col min="2" max="2" width="17" bestFit="1" customWidth="1"/>
    <col min="3" max="3" width="20.28515625" bestFit="1" customWidth="1"/>
  </cols>
  <sheetData>
    <row r="1" spans="1:3">
      <c r="A1" t="s">
        <v>0</v>
      </c>
      <c r="B1" t="s">
        <v>42</v>
      </c>
      <c r="C1" t="s">
        <v>55</v>
      </c>
    </row>
    <row r="2" spans="1:3">
      <c r="A2" t="s">
        <v>45</v>
      </c>
      <c r="B2">
        <v>2022.47191</v>
      </c>
      <c r="C2">
        <v>5.17752809</v>
      </c>
    </row>
    <row r="3" spans="1:3">
      <c r="A3" t="s">
        <v>43</v>
      </c>
      <c r="B3">
        <v>520</v>
      </c>
      <c r="C3">
        <v>1.2012</v>
      </c>
    </row>
    <row r="4" spans="1:3">
      <c r="A4" t="s">
        <v>44</v>
      </c>
      <c r="B4">
        <v>404.44444440000001</v>
      </c>
      <c r="C4">
        <v>1.035377778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7C65-A042-4053-BE52-BD4648AAF333}">
  <dimension ref="A1:C13"/>
  <sheetViews>
    <sheetView workbookViewId="0">
      <selection activeCell="C15" sqref="C15"/>
    </sheetView>
  </sheetViews>
  <sheetFormatPr defaultRowHeight="14.45"/>
  <cols>
    <col min="2" max="2" width="14.42578125" bestFit="1" customWidth="1"/>
    <col min="3" max="3" width="19.28515625" bestFit="1" customWidth="1"/>
  </cols>
  <sheetData>
    <row r="1" spans="1:3">
      <c r="A1" t="s">
        <v>56</v>
      </c>
      <c r="B1" t="s">
        <v>57</v>
      </c>
      <c r="C1" t="s">
        <v>3</v>
      </c>
    </row>
    <row r="2" spans="1:3">
      <c r="A2" s="1">
        <v>45748</v>
      </c>
      <c r="B2">
        <v>226378.42</v>
      </c>
      <c r="C2">
        <f>((B2/88.35)*0.244)/1000</f>
        <v>0.62519903203169214</v>
      </c>
    </row>
    <row r="3" spans="1:3">
      <c r="A3" s="1">
        <v>45778</v>
      </c>
      <c r="B3">
        <v>721671.41</v>
      </c>
      <c r="C3">
        <f t="shared" ref="C3:C13" si="0">((B3/88.35)*0.244)/1000</f>
        <v>1.9930710134691569</v>
      </c>
    </row>
    <row r="4" spans="1:3">
      <c r="A4" s="1">
        <v>45809</v>
      </c>
      <c r="B4">
        <v>417073.08</v>
      </c>
      <c r="C4">
        <f t="shared" si="0"/>
        <v>1.1518486872665534</v>
      </c>
    </row>
    <row r="5" spans="1:3">
      <c r="A5" s="1">
        <v>45839</v>
      </c>
      <c r="B5">
        <v>61885</v>
      </c>
      <c r="C5">
        <f t="shared" si="0"/>
        <v>0.17091046972269386</v>
      </c>
    </row>
    <row r="6" spans="1:3">
      <c r="A6" s="1">
        <v>45870</v>
      </c>
      <c r="B6">
        <v>3300</v>
      </c>
      <c r="C6">
        <f t="shared" si="0"/>
        <v>9.1137521222410863E-3</v>
      </c>
    </row>
    <row r="7" spans="1:3">
      <c r="A7" s="1">
        <v>45901</v>
      </c>
      <c r="B7">
        <v>11500</v>
      </c>
      <c r="C7">
        <f t="shared" si="0"/>
        <v>3.1760045274476512E-2</v>
      </c>
    </row>
    <row r="8" spans="1:3">
      <c r="A8" s="1">
        <v>45931</v>
      </c>
      <c r="B8">
        <v>395190.29</v>
      </c>
      <c r="C8">
        <f t="shared" si="0"/>
        <v>1.0914140436898696</v>
      </c>
    </row>
    <row r="9" spans="1:3">
      <c r="A9" s="1">
        <v>45962</v>
      </c>
      <c r="B9">
        <v>99839.46</v>
      </c>
      <c r="C9">
        <f t="shared" si="0"/>
        <v>0.27573093650254676</v>
      </c>
    </row>
    <row r="10" spans="1:3">
      <c r="A10" s="1">
        <v>45992</v>
      </c>
      <c r="B10">
        <v>1818203.46</v>
      </c>
      <c r="C10">
        <f t="shared" si="0"/>
        <v>5.0214108006791163</v>
      </c>
    </row>
    <row r="11" spans="1:3">
      <c r="A11" s="1">
        <v>46023</v>
      </c>
      <c r="B11">
        <v>80825.42</v>
      </c>
      <c r="C11">
        <f t="shared" si="0"/>
        <v>0.22321904335031126</v>
      </c>
    </row>
    <row r="12" spans="1:3">
      <c r="A12" s="1">
        <v>46054</v>
      </c>
      <c r="B12">
        <v>44940</v>
      </c>
      <c r="C12">
        <f t="shared" si="0"/>
        <v>0.12411273344651955</v>
      </c>
    </row>
    <row r="13" spans="1:3">
      <c r="A13" s="1">
        <v>46082</v>
      </c>
      <c r="B13">
        <v>47286</v>
      </c>
      <c r="C13">
        <f t="shared" si="0"/>
        <v>0.13059178268251276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CDAF-0F19-4AD3-BBD6-62858F3A8B1F}">
  <dimension ref="A1:O17"/>
  <sheetViews>
    <sheetView tabSelected="1" workbookViewId="0">
      <selection activeCell="K23" sqref="K23"/>
    </sheetView>
  </sheetViews>
  <sheetFormatPr defaultColWidth="8.85546875" defaultRowHeight="14.45"/>
  <cols>
    <col min="1" max="1" width="35.85546875" style="2" bestFit="1" customWidth="1"/>
    <col min="2" max="13" width="11" style="2" bestFit="1" customWidth="1"/>
    <col min="14" max="14" width="15.42578125" style="2" bestFit="1" customWidth="1"/>
    <col min="15" max="15" width="20.28515625" style="2" bestFit="1" customWidth="1"/>
    <col min="16" max="16384" width="8.85546875" style="2"/>
  </cols>
  <sheetData>
    <row r="1" spans="1:15">
      <c r="A1" s="2" t="s">
        <v>58</v>
      </c>
      <c r="B1" s="3">
        <v>45748</v>
      </c>
      <c r="C1" s="3">
        <v>45778</v>
      </c>
      <c r="D1" s="3">
        <v>45809</v>
      </c>
      <c r="E1" s="3">
        <v>45839</v>
      </c>
      <c r="F1" s="3">
        <v>45870</v>
      </c>
      <c r="G1" s="3">
        <v>45901</v>
      </c>
      <c r="H1" s="3">
        <v>45931</v>
      </c>
      <c r="I1" s="3">
        <v>45962</v>
      </c>
      <c r="J1" s="3">
        <v>45992</v>
      </c>
      <c r="K1" s="3">
        <v>46023</v>
      </c>
      <c r="L1" s="3">
        <v>46054</v>
      </c>
      <c r="M1" s="3">
        <v>46082</v>
      </c>
      <c r="N1" s="2" t="s">
        <v>59</v>
      </c>
      <c r="O1" s="2" t="s">
        <v>55</v>
      </c>
    </row>
    <row r="2" spans="1:15">
      <c r="A2" s="2" t="s">
        <v>60</v>
      </c>
      <c r="B2" s="2">
        <v>1777313.83</v>
      </c>
      <c r="C2" s="2">
        <v>2023467.26</v>
      </c>
      <c r="D2" s="2">
        <v>2541985.64</v>
      </c>
      <c r="E2" s="2">
        <v>3523303.92</v>
      </c>
      <c r="F2" s="2">
        <v>4388631.2699999996</v>
      </c>
      <c r="G2" s="2">
        <v>4346698.51</v>
      </c>
      <c r="H2" s="2">
        <v>2924028.01</v>
      </c>
      <c r="I2" s="2">
        <v>2944890.14</v>
      </c>
      <c r="J2" s="2">
        <v>3435176.58</v>
      </c>
      <c r="K2" s="2">
        <v>3097450.43</v>
      </c>
      <c r="L2" s="2">
        <v>2745751.22</v>
      </c>
      <c r="M2" s="2">
        <v>3733664.97</v>
      </c>
      <c r="N2" s="2">
        <f>SUM(B2:M2)</f>
        <v>37482361.779999994</v>
      </c>
      <c r="O2" s="2">
        <f>((N2/88.35)*1.03)/1000</f>
        <v>436.97603433389929</v>
      </c>
    </row>
    <row r="3" spans="1:15">
      <c r="A3" s="2" t="s">
        <v>61</v>
      </c>
      <c r="B3" s="2">
        <v>1648561.06</v>
      </c>
      <c r="C3" s="2">
        <v>2257871.7599999998</v>
      </c>
      <c r="D3" s="2">
        <v>2018624.4</v>
      </c>
      <c r="E3" s="2">
        <v>2904897.67</v>
      </c>
      <c r="F3" s="2">
        <v>3825475.79</v>
      </c>
      <c r="G3" s="2">
        <v>2226282.13</v>
      </c>
      <c r="H3" s="2">
        <v>2055700.02</v>
      </c>
      <c r="I3" s="2">
        <v>2191481.09</v>
      </c>
      <c r="J3" s="2">
        <v>2644776.25</v>
      </c>
      <c r="K3" s="2">
        <v>2409419.85</v>
      </c>
      <c r="L3" s="2">
        <v>2721018</v>
      </c>
      <c r="M3" s="2">
        <v>2831507.98</v>
      </c>
      <c r="N3" s="2">
        <f>SUM(B3:M3)</f>
        <v>29735616</v>
      </c>
      <c r="O3" s="2">
        <f>((N3/88.35)*0.75)/1000</f>
        <v>252.42458404074702</v>
      </c>
    </row>
    <row r="4" spans="1:15">
      <c r="A4" s="2" t="s">
        <v>62</v>
      </c>
      <c r="B4" s="6">
        <v>343743.75</v>
      </c>
      <c r="C4" s="6">
        <v>434456</v>
      </c>
      <c r="D4" s="6">
        <v>380284.12</v>
      </c>
      <c r="E4" s="6">
        <v>633546.29</v>
      </c>
      <c r="F4" s="6">
        <v>542767.6</v>
      </c>
      <c r="G4" s="6">
        <v>433241.75</v>
      </c>
      <c r="H4" s="6">
        <v>316088.49</v>
      </c>
      <c r="I4" s="6">
        <v>364886.6</v>
      </c>
      <c r="J4" s="6">
        <v>413960</v>
      </c>
      <c r="K4" s="6">
        <v>389854.5</v>
      </c>
      <c r="L4" s="6">
        <v>383540.92</v>
      </c>
      <c r="M4" s="6">
        <v>240798.05</v>
      </c>
      <c r="N4" s="4">
        <f>SUM(B4:M4)</f>
        <v>4877168.0699999994</v>
      </c>
      <c r="O4" s="2">
        <f>((N4/88.35)*0.54)/1000</f>
        <v>29.809516217317487</v>
      </c>
    </row>
    <row r="5" spans="1:15">
      <c r="A5" s="2" t="s">
        <v>63</v>
      </c>
      <c r="B5" s="2">
        <v>1170157.6299999999</v>
      </c>
      <c r="C5" s="2">
        <v>1435878.11</v>
      </c>
      <c r="D5" s="2">
        <v>1279233.6200000001</v>
      </c>
      <c r="E5" s="2">
        <v>2953257.73</v>
      </c>
      <c r="F5" s="2">
        <v>2891850.49</v>
      </c>
      <c r="G5" s="2">
        <v>1974886.99</v>
      </c>
      <c r="H5" s="2">
        <v>1502196.8</v>
      </c>
      <c r="I5" s="2">
        <v>2029198.97</v>
      </c>
      <c r="J5" s="2">
        <v>1992734.39</v>
      </c>
      <c r="K5" s="2">
        <v>1971802.9</v>
      </c>
      <c r="L5" s="2">
        <v>1970607.59</v>
      </c>
      <c r="M5" s="2">
        <v>1417736.56</v>
      </c>
      <c r="N5" s="2">
        <f>SUM(B5:M5)</f>
        <v>22589541.779999997</v>
      </c>
      <c r="O5" s="2">
        <f>((N5/88.35)*0.44)/1000</f>
        <v>112.5002646655348</v>
      </c>
    </row>
    <row r="6" spans="1:15">
      <c r="A6" s="2" t="s">
        <v>64</v>
      </c>
      <c r="B6" s="2">
        <v>2483910.2400000002</v>
      </c>
      <c r="C6" s="2">
        <v>2897203.84</v>
      </c>
      <c r="D6" s="2">
        <v>2637901.36</v>
      </c>
      <c r="E6" s="2">
        <v>4131063.79</v>
      </c>
      <c r="F6" s="2">
        <v>4201098.34</v>
      </c>
      <c r="G6" s="2">
        <v>3087559.69</v>
      </c>
      <c r="H6" s="2">
        <v>2978928.7</v>
      </c>
      <c r="I6" s="2">
        <v>3149890.3</v>
      </c>
      <c r="J6" s="2">
        <v>3794002.87</v>
      </c>
      <c r="K6" s="2">
        <v>3251935.36</v>
      </c>
      <c r="L6" s="2">
        <v>3449997.41</v>
      </c>
      <c r="M6" s="2">
        <v>2786946.34</v>
      </c>
      <c r="N6" s="2">
        <f>SUM(B6:M6)</f>
        <v>38850438.24000001</v>
      </c>
      <c r="O6" s="2">
        <f>((N6/88.35)*0.76)/1000</f>
        <v>334.19731819354854</v>
      </c>
    </row>
    <row r="7" spans="1:15">
      <c r="A7" s="2" t="s">
        <v>65</v>
      </c>
      <c r="B7" s="2">
        <v>1132964.3</v>
      </c>
      <c r="C7" s="2">
        <v>1314387.45</v>
      </c>
      <c r="D7" s="2">
        <v>949771.66</v>
      </c>
      <c r="E7" s="2">
        <v>1906439.44</v>
      </c>
      <c r="F7" s="2">
        <v>2135069.73</v>
      </c>
      <c r="G7" s="2">
        <v>1358815.42</v>
      </c>
      <c r="H7" s="2">
        <v>1183759.5900000001</v>
      </c>
      <c r="I7" s="2">
        <v>1310250.04</v>
      </c>
      <c r="J7" s="2">
        <v>1573489.54</v>
      </c>
      <c r="K7" s="2">
        <v>1517459.57</v>
      </c>
      <c r="L7" s="2">
        <v>1472373.33</v>
      </c>
      <c r="M7" s="2">
        <v>1298305.3700000001</v>
      </c>
      <c r="N7" s="2">
        <f>SUM(B7:M7)</f>
        <v>17153085.439999998</v>
      </c>
      <c r="O7" s="2">
        <f>((N7/88.35)*0.38)/1000</f>
        <v>73.77671156989247</v>
      </c>
    </row>
    <row r="8" spans="1:15">
      <c r="A8" s="2" t="s">
        <v>66</v>
      </c>
      <c r="B8" s="2">
        <v>709275.32</v>
      </c>
      <c r="C8" s="2">
        <v>797891.95</v>
      </c>
      <c r="D8" s="2">
        <v>734265.74</v>
      </c>
      <c r="E8" s="2">
        <v>2557036.1800000002</v>
      </c>
      <c r="F8" s="2">
        <v>1016226.06</v>
      </c>
      <c r="G8" s="2">
        <v>1047322.39</v>
      </c>
      <c r="H8" s="2">
        <v>557938.35</v>
      </c>
      <c r="I8" s="2">
        <v>778794.5</v>
      </c>
      <c r="J8" s="2">
        <v>1982962.92</v>
      </c>
      <c r="K8" s="2">
        <v>2099155.02</v>
      </c>
      <c r="L8" s="2">
        <v>2179353.4500000002</v>
      </c>
      <c r="M8" s="2">
        <v>1096275.1599999999</v>
      </c>
      <c r="N8" s="2">
        <f>SUM(B8:M8)</f>
        <v>15556497.039999999</v>
      </c>
      <c r="O8" s="2">
        <f>((N8/88.35)*0.34)/1000</f>
        <v>59.866542089417095</v>
      </c>
    </row>
    <row r="9" spans="1:15">
      <c r="A9" s="2" t="s">
        <v>67</v>
      </c>
      <c r="B9" s="2">
        <v>134285.26</v>
      </c>
      <c r="C9" s="2">
        <v>195083.06</v>
      </c>
      <c r="D9" s="2">
        <v>358973.97</v>
      </c>
      <c r="E9" s="2">
        <v>793030.25</v>
      </c>
      <c r="F9" s="2">
        <v>751371.44</v>
      </c>
      <c r="G9" s="2">
        <v>620960.22</v>
      </c>
      <c r="H9" s="2">
        <v>523850.72</v>
      </c>
      <c r="I9" s="2">
        <v>501209.01</v>
      </c>
      <c r="J9" s="2">
        <v>1011213.04</v>
      </c>
      <c r="K9" s="2">
        <v>904438.74</v>
      </c>
      <c r="L9" s="2">
        <v>1277925.24</v>
      </c>
      <c r="M9" s="2">
        <v>773356.87</v>
      </c>
      <c r="N9" s="2">
        <f>SUM(B9:M9)</f>
        <v>7845697.8200000003</v>
      </c>
      <c r="O9" s="2">
        <f>((N9/88.35)*0.5)/1000</f>
        <v>44.401232710809289</v>
      </c>
    </row>
    <row r="10" spans="1:15">
      <c r="A10" s="2" t="s">
        <v>68</v>
      </c>
      <c r="B10" s="2">
        <v>768716.88</v>
      </c>
      <c r="C10" s="2">
        <v>1047852.21</v>
      </c>
      <c r="D10" s="2">
        <v>934179.9</v>
      </c>
      <c r="E10" s="2">
        <v>1108293.9099999999</v>
      </c>
      <c r="F10" s="2">
        <v>545199.35</v>
      </c>
      <c r="G10" s="2">
        <v>777072.09</v>
      </c>
      <c r="H10" s="2">
        <v>915833.32</v>
      </c>
      <c r="I10" s="2">
        <v>1535925.88</v>
      </c>
      <c r="J10" s="2">
        <v>1381600.52</v>
      </c>
      <c r="K10" s="2">
        <v>1300705.2</v>
      </c>
      <c r="L10" s="2">
        <v>1169250.7</v>
      </c>
      <c r="M10" s="2">
        <v>464980</v>
      </c>
      <c r="N10" s="2">
        <f>SUM(B10:M10)</f>
        <v>11949609.959999997</v>
      </c>
      <c r="O10" s="2">
        <f>((N10/88.35)*1.27)/1000</f>
        <v>171.77141651612899</v>
      </c>
    </row>
    <row r="11" spans="1:15">
      <c r="A11" s="2" t="s">
        <v>69</v>
      </c>
      <c r="B11" s="2">
        <v>2188020.62</v>
      </c>
      <c r="C11" s="2">
        <v>2367110.87</v>
      </c>
      <c r="D11" s="2">
        <v>1920660.75</v>
      </c>
      <c r="E11" s="2">
        <v>2937571.98</v>
      </c>
      <c r="F11" s="2">
        <v>2865150.52</v>
      </c>
      <c r="G11" s="2">
        <v>2484737.15</v>
      </c>
      <c r="H11" s="2">
        <v>2207034.94</v>
      </c>
      <c r="I11" s="2">
        <v>2440013.37</v>
      </c>
      <c r="J11" s="2">
        <v>2442770.86</v>
      </c>
      <c r="K11" s="2">
        <v>2689379.98</v>
      </c>
      <c r="L11" s="2">
        <v>2576989.04</v>
      </c>
      <c r="M11" s="2">
        <v>2490939.86</v>
      </c>
      <c r="N11" s="2">
        <f>SUM(B11:M11)</f>
        <v>29610379.940000001</v>
      </c>
      <c r="O11" s="2">
        <f>((N11/88.35)*0.31)/1000</f>
        <v>103.89606996491229</v>
      </c>
    </row>
    <row r="12" spans="1:15">
      <c r="A12" s="2" t="s">
        <v>70</v>
      </c>
      <c r="B12" s="5">
        <v>62750.19</v>
      </c>
      <c r="C12" s="5">
        <v>88771.02</v>
      </c>
      <c r="D12" s="5">
        <v>76573.179999999993</v>
      </c>
      <c r="E12" s="2">
        <v>196511.6</v>
      </c>
      <c r="F12" s="2">
        <v>167623.38</v>
      </c>
      <c r="G12" s="2">
        <v>128976.23</v>
      </c>
      <c r="H12" s="2">
        <v>100942</v>
      </c>
      <c r="I12" s="2">
        <v>120847.09</v>
      </c>
      <c r="J12" s="2">
        <v>115925.63</v>
      </c>
      <c r="K12" s="2">
        <v>132288</v>
      </c>
      <c r="L12" s="2">
        <v>265065.83</v>
      </c>
      <c r="M12" s="2">
        <v>160040.75</v>
      </c>
      <c r="N12" s="5">
        <f>SUM(B12:M12)</f>
        <v>1616314.9</v>
      </c>
      <c r="O12" s="2">
        <f>((N12/88.35)*0.21)/1000</f>
        <v>3.8418350764006788</v>
      </c>
    </row>
    <row r="13" spans="1:15">
      <c r="A13" s="2" t="s">
        <v>71</v>
      </c>
      <c r="B13" s="2">
        <v>396459.8</v>
      </c>
      <c r="C13" s="2">
        <v>579617.68000000005</v>
      </c>
      <c r="D13" s="2">
        <v>623669.68999999994</v>
      </c>
      <c r="E13" s="2">
        <v>648220.31000000006</v>
      </c>
      <c r="F13" s="2">
        <v>844502.65</v>
      </c>
      <c r="G13" s="2">
        <v>900422.67</v>
      </c>
      <c r="H13" s="2">
        <v>431627.07</v>
      </c>
      <c r="I13" s="2">
        <v>725520.81</v>
      </c>
      <c r="J13" s="2">
        <v>559035</v>
      </c>
      <c r="K13" s="2">
        <v>637058.81000000006</v>
      </c>
      <c r="L13" s="2">
        <v>671370.03</v>
      </c>
      <c r="M13" s="2">
        <v>664841.34</v>
      </c>
      <c r="N13" s="5">
        <f>SUM(B13:M13)</f>
        <v>7682345.8600000003</v>
      </c>
      <c r="O13" s="2">
        <f>((N13/88.35)*0.47)/1000</f>
        <v>40.868166997170349</v>
      </c>
    </row>
    <row r="14" spans="1:15">
      <c r="A14" s="2" t="s">
        <v>72</v>
      </c>
      <c r="B14" s="5">
        <v>137848.72</v>
      </c>
      <c r="C14" s="5">
        <v>184045.24</v>
      </c>
      <c r="D14" s="5">
        <v>179132.33</v>
      </c>
      <c r="E14" s="5">
        <v>509272.54</v>
      </c>
      <c r="F14" s="5">
        <v>325674.43</v>
      </c>
      <c r="G14" s="5">
        <v>275945.63</v>
      </c>
      <c r="H14" s="5">
        <v>111829.86</v>
      </c>
      <c r="I14" s="5">
        <v>221869</v>
      </c>
      <c r="J14" s="5">
        <v>266314.44</v>
      </c>
      <c r="K14" s="5">
        <v>171689</v>
      </c>
      <c r="L14" s="5">
        <v>318249.71999999997</v>
      </c>
      <c r="M14" s="5">
        <v>162585.76</v>
      </c>
      <c r="N14" s="5">
        <f>SUM(B14:M14)</f>
        <v>2864456.67</v>
      </c>
      <c r="O14" s="2">
        <f>((N14/88.35)*0.35)/1000</f>
        <v>11.347592920203734</v>
      </c>
    </row>
    <row r="15" spans="1:15">
      <c r="A15" s="2" t="s">
        <v>73</v>
      </c>
      <c r="B15" s="5">
        <v>3826.2</v>
      </c>
      <c r="C15" s="5">
        <v>5101</v>
      </c>
      <c r="D15" s="5">
        <v>3483.4</v>
      </c>
      <c r="E15" s="5">
        <v>3591.68</v>
      </c>
      <c r="F15" s="5">
        <v>1590.93</v>
      </c>
      <c r="G15" s="5">
        <v>6006.14</v>
      </c>
      <c r="H15" s="5">
        <v>3572</v>
      </c>
      <c r="I15" s="5">
        <v>3790</v>
      </c>
      <c r="J15" s="5">
        <v>36405</v>
      </c>
      <c r="K15" s="5">
        <v>9179</v>
      </c>
      <c r="L15" s="5">
        <v>9703</v>
      </c>
      <c r="M15" s="5">
        <v>4328.5</v>
      </c>
      <c r="N15" s="5">
        <f>SUM(B15:M15)</f>
        <v>90576.85</v>
      </c>
      <c r="O15" s="2">
        <f>((N15/88.35)*0.29)/1000</f>
        <v>0.29730941143180534</v>
      </c>
    </row>
    <row r="16" spans="1:15">
      <c r="A16" s="2" t="s">
        <v>74</v>
      </c>
      <c r="B16" s="5">
        <v>1600</v>
      </c>
      <c r="C16" s="5">
        <v>6362</v>
      </c>
      <c r="D16" s="5">
        <v>18000</v>
      </c>
      <c r="E16" s="5">
        <v>11707.18</v>
      </c>
      <c r="F16" s="5">
        <v>13213.78</v>
      </c>
      <c r="G16" s="5">
        <v>36179.94</v>
      </c>
      <c r="H16" s="5">
        <v>17800</v>
      </c>
      <c r="I16" s="5">
        <v>27000</v>
      </c>
      <c r="J16" s="5">
        <v>26140</v>
      </c>
      <c r="K16" s="5">
        <v>24000</v>
      </c>
      <c r="L16" s="5">
        <v>24480</v>
      </c>
      <c r="M16" s="5">
        <v>30942.86</v>
      </c>
      <c r="N16" s="5">
        <f>SUM(B16:M16)</f>
        <v>237425.76</v>
      </c>
      <c r="O16" s="2">
        <f>((N16/88.35)*0.22)/1000</f>
        <v>0.59121298471986417</v>
      </c>
    </row>
    <row r="17" spans="1:15">
      <c r="A17" s="2" t="s">
        <v>75</v>
      </c>
      <c r="B17" s="5">
        <v>11100</v>
      </c>
      <c r="C17" s="5">
        <v>70225</v>
      </c>
      <c r="D17" s="5">
        <v>39150</v>
      </c>
      <c r="E17" s="5">
        <v>48488.7</v>
      </c>
      <c r="F17" s="5">
        <v>30525</v>
      </c>
      <c r="G17" s="5">
        <v>47310.21</v>
      </c>
      <c r="H17" s="5">
        <v>38850</v>
      </c>
      <c r="I17" s="5">
        <v>66425.899999999994</v>
      </c>
      <c r="J17" s="5">
        <v>22725.599999999999</v>
      </c>
      <c r="K17" s="5">
        <v>23528.55</v>
      </c>
      <c r="L17" s="5">
        <v>22253.599999999999</v>
      </c>
      <c r="M17" s="5">
        <v>51069.35</v>
      </c>
      <c r="N17" s="5">
        <f>SUM(B17:M17)</f>
        <v>471651.91</v>
      </c>
      <c r="O17" s="2">
        <f>((N17/88.35)*0.2)/1000</f>
        <v>1.0676896661007356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B4D8-5986-4935-8D2F-AB79853E818C}">
  <dimension ref="A1:C4"/>
  <sheetViews>
    <sheetView workbookViewId="0">
      <selection activeCell="E9" sqref="E9"/>
    </sheetView>
  </sheetViews>
  <sheetFormatPr defaultRowHeight="14.45"/>
  <cols>
    <col min="1" max="1" width="10.42578125" bestFit="1" customWidth="1"/>
    <col min="2" max="2" width="16.5703125" bestFit="1" customWidth="1"/>
    <col min="3" max="3" width="20.28515625" bestFit="1" customWidth="1"/>
  </cols>
  <sheetData>
    <row r="1" spans="1:3">
      <c r="A1" t="s">
        <v>27</v>
      </c>
      <c r="B1" t="s">
        <v>76</v>
      </c>
      <c r="C1" t="s">
        <v>55</v>
      </c>
    </row>
    <row r="2" spans="1:3">
      <c r="A2" t="s">
        <v>32</v>
      </c>
      <c r="B2">
        <v>43800</v>
      </c>
      <c r="C2">
        <v>25.666799999999999</v>
      </c>
    </row>
    <row r="3" spans="1:3">
      <c r="A3" t="s">
        <v>37</v>
      </c>
      <c r="B3">
        <v>62050</v>
      </c>
      <c r="C3">
        <v>0.65152500000000002</v>
      </c>
    </row>
    <row r="4" spans="1:3">
      <c r="A4" t="s">
        <v>29</v>
      </c>
      <c r="B4">
        <v>547500</v>
      </c>
      <c r="C4">
        <v>173.79474999999999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Himanshi Nagpal</dc:creator>
  <cp:keywords/>
  <dc:description/>
  <cp:lastModifiedBy/>
  <cp:revision/>
  <dcterms:created xsi:type="dcterms:W3CDTF">2026-07-31T09:56:40Z</dcterms:created>
  <dcterms:modified xsi:type="dcterms:W3CDTF">2026-08-03T08:33:15Z</dcterms:modified>
  <cp:category/>
  <cp:contentStatus/>
</cp:coreProperties>
</file>